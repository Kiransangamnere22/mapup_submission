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Downloads\MapUp-Data-Assessment-F-main\MapUp-Data-Assessment-F-main\"/>
    </mc:Choice>
  </mc:AlternateContent>
  <xr:revisionPtr revIDLastSave="0" documentId="13_ncr:1_{B4B61718-9076-47FD-B956-E102724A149B}" xr6:coauthVersionLast="47" xr6:coauthVersionMax="47" xr10:uidLastSave="{00000000-0000-0000-0000-000000000000}"/>
  <bookViews>
    <workbookView xWindow="-120" yWindow="-120" windowWidth="20730" windowHeight="11040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_xlnm._FilterDatabase" localSheetId="5" hidden="1">Task_4!$A$11:$C$22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/>
  <c r="C23" i="19"/>
  <c r="C5" i="15"/>
  <c r="H41" i="1"/>
  <c r="C8" i="15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<sst xmlns="http://schemas.openxmlformats.org/spreadsheetml/2006/main" count="404" uniqueCount="181">
  <si>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</si>
  <si>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</si>
  <si>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</si>
  <si>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</si>
  <si>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</si>
  <si>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</si>
  <si>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</si>
  <si>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</si>
  <si>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</si>
  <si>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</si>
  <si>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</si>
  <si>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</si>
  <si>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</si>
  <si>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</si>
  <si>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</si>
  <si>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</si>
  <si>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</si>
  <si>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</si>
  <si>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</si>
  <si>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</si>
  <si>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</si>
  <si>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</si>
  <si>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</si>
  <si>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</si>
  <si>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</si>
  <si>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</si>
  <si>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</si>
  <si>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</si>
  <si>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</si>
  <si>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</si>
  <si>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</si>
  <si>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</si>
  <si>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</si>
  <si>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</si>
  <si>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</si>
  <si>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</si>
  <si>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</si>
  <si>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</si>
  <si>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</si>
  <si>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</si>
  <si>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</si>
  <si>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</si>
  <si>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</si>
  <si>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</si>
  <si>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</si>
  <si>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</si>
  <si>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</si>
  <si>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</si>
  <si>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</si>
  <si>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</si>
  <si>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</si>
  <si>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</si>
  <si>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</si>
  <si>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</si>
  <si>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</si>
  <si>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</si>
  <si>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</si>
  <si>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</si>
  <si>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</si>
  <si>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</si>
  <si>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</si>
  <si>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</si>
  <si>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</si>
  <si>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</si>
  <si>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</si>
  <si>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</si>
  <si>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</si>
  <si>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</si>
  <si>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</si>
  <si>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</si>
  <si>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</si>
  <si>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</si>
  <si>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</si>
  <si>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</si>
  <si>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</si>
  <si>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</si>
  <si>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</si>
  <si>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</si>
  <si>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</si>
  <si>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</si>
  <si>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</si>
  <si>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</si>
  <si>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</si>
  <si>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</si>
  <si>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</si>
  <si>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</si>
  <si>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</si>
  <si>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</si>
  <si>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</si>
  <si>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</si>
  <si>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</si>
  <si>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</si>
  <si>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</si>
  <si>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</si>
  <si>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</si>
  <si>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</si>
  <si>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</si>
  <si>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</si>
  <si>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</si>
  <si>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</si>
  <si>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</si>
  <si>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</si>
  <si>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</si>
  <si>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</si>
  <si>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</si>
  <si>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</si>
  <si>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</si>
  <si>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</si>
  <si>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</si>
  <si>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</si>
  <si>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</si>
  <si>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</si>
  <si>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</si>
  <si>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</si>
  <si>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</si>
  <si>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</si>
  <si>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</si>
  <si>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</si>
  <si>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</si>
  <si>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</si>
  <si>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</si>
  <si>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</si>
  <si>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</si>
  <si>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</si>
  <si>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</si>
  <si>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</si>
  <si>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</si>
  <si>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</si>
  <si>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</si>
  <si>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</si>
  <si>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</si>
  <si>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</si>
  <si>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</si>
  <si>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</si>
  <si>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</si>
  <si>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</si>
  <si>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</si>
  <si>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</si>
  <si>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</si>
  <si>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</si>
  <si>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</si>
  <si>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</si>
  <si>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</si>
  <si>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</si>
  <si>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</si>
  <si>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</si>
  <si>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</si>
  <si>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</si>
  <si>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</si>
  <si>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</si>
  <si>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</si>
  <si>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</si>
  <si>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</si>
  <si>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</si>
  <si>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</si>
  <si>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</si>
  <si>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</si>
  <si>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</si>
  <si>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</si>
  <si>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</si>
  <si>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</si>
  <si>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</si>
  <si>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</si>
  <si>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</si>
  <si>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</si>
  <si>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</si>
  <si>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</si>
  <si>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</si>
  <si>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</si>
  <si>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</si>
  <si>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</si>
  <si>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</si>
  <si>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</si>
  <si>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</si>
  <si>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</si>
  <si>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</si>
  <si>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</si>
  <si>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of value grether than 20</t>
  </si>
  <si>
    <t xml:space="preserve">first replace the #n/a to 20 </t>
  </si>
  <si>
    <t>sum function used =sum()</t>
  </si>
  <si>
    <t>first select the column then press alt+A+E then next then other in other give (-) this symbol and select range where we want to peaste that finish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</si>
</sst>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0" formatCode="[Green]0;[Red]\-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3" fillId="6" borderId="0" xfId="0" applyFont="1" applyFill="1"/>
    <xf numFmtId="170" fontId="7" fillId="3" borderId="0" xfId="0" applyNumberFormat="1" applyFont="1" applyFill="1"/>
    <xf numFmtId="170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K1" zoomScaleNormal="100" workbookViewId="0">
      <pane ySplit="1" topLeftCell="A2" activePane="bottomLeft" state="frozen"/>
      <selection pane="bottomLeft" activeCell="D15" sqref="D15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50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30.832031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49" t="s">
        <v>67</v>
      </c>
      <c r="K1" s="49" t="s">
        <v>68</v>
      </c>
      <c r="L1" s="49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50">
        <v>-1</v>
      </c>
      <c r="K2" s="50">
        <v>-1</v>
      </c>
      <c r="L2" s="50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50">
        <v>-1</v>
      </c>
      <c r="K3" s="50">
        <v>-1</v>
      </c>
      <c r="L3" s="50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50">
        <v>-1</v>
      </c>
      <c r="K4" s="50">
        <v>-1</v>
      </c>
      <c r="L4" s="50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50">
        <v>-1</v>
      </c>
      <c r="K5" s="50">
        <v>-1</v>
      </c>
      <c r="L5" s="50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50">
        <v>-1</v>
      </c>
      <c r="K6" s="50">
        <v>-1</v>
      </c>
      <c r="L6" s="50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50">
        <v>-1</v>
      </c>
      <c r="K7" s="50">
        <v>-1</v>
      </c>
      <c r="L7" s="50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50">
        <v>-1</v>
      </c>
      <c r="K8" s="50">
        <v>-1</v>
      </c>
      <c r="L8" s="50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50">
        <v>-1</v>
      </c>
      <c r="K9" s="50">
        <v>-1</v>
      </c>
      <c r="L9" s="50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50">
        <v>-1</v>
      </c>
      <c r="K10" s="50">
        <v>-1</v>
      </c>
      <c r="L10" s="50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50">
        <v>-1</v>
      </c>
      <c r="K11" s="50">
        <v>-1</v>
      </c>
      <c r="L11" s="50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50">
        <v>0</v>
      </c>
      <c r="K12" s="50">
        <v>0</v>
      </c>
      <c r="L12" s="50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50">
        <v>-1</v>
      </c>
      <c r="K13" s="50">
        <v>-1</v>
      </c>
      <c r="L13" s="50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50">
        <v>-1</v>
      </c>
      <c r="K14" s="50">
        <v>-1</v>
      </c>
      <c r="L14" s="50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50">
        <v>-1</v>
      </c>
      <c r="K15" s="50">
        <v>-1</v>
      </c>
      <c r="L15" s="50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50">
        <v>-1</v>
      </c>
      <c r="K16" s="50">
        <v>-1</v>
      </c>
      <c r="L16" s="50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50">
        <v>-1</v>
      </c>
      <c r="K17" s="50">
        <v>-1</v>
      </c>
      <c r="L17" s="50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50">
        <v>-1</v>
      </c>
      <c r="K18" s="50">
        <v>-1</v>
      </c>
      <c r="L18" s="50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50">
        <v>-1</v>
      </c>
      <c r="K19" s="50">
        <v>-1</v>
      </c>
      <c r="L19" s="50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50">
        <v>-1</v>
      </c>
      <c r="K20" s="50">
        <v>-1</v>
      </c>
      <c r="L20" s="50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50">
        <v>-1</v>
      </c>
      <c r="K21" s="50">
        <v>-1</v>
      </c>
      <c r="L21" s="50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50">
        <v>-1</v>
      </c>
      <c r="K22" s="50">
        <v>-1</v>
      </c>
      <c r="L22" s="50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50">
        <v>-1</v>
      </c>
      <c r="K23" s="50">
        <v>-1</v>
      </c>
      <c r="L23" s="50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50">
        <v>-1</v>
      </c>
      <c r="K24" s="50">
        <v>-1</v>
      </c>
      <c r="L24" s="50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50">
        <v>-1</v>
      </c>
      <c r="K25" s="50">
        <v>-1</v>
      </c>
      <c r="L25" s="50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50">
        <v>0</v>
      </c>
      <c r="K26" s="50">
        <v>0</v>
      </c>
      <c r="L26" s="50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50">
        <v>-1</v>
      </c>
      <c r="K27" s="50">
        <v>-1</v>
      </c>
      <c r="L27" s="50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50">
        <v>-1</v>
      </c>
      <c r="K28" s="50">
        <v>-1</v>
      </c>
      <c r="L28" s="50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50">
        <v>-1</v>
      </c>
      <c r="K29" s="50">
        <v>-1</v>
      </c>
      <c r="L29" s="50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50">
        <v>-1</v>
      </c>
      <c r="K30" s="50">
        <v>-1</v>
      </c>
      <c r="L30" s="50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50">
        <v>-1</v>
      </c>
      <c r="K31" s="50">
        <v>-1</v>
      </c>
      <c r="L31" s="50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50">
        <v>-1</v>
      </c>
      <c r="K32" s="50">
        <v>-1</v>
      </c>
      <c r="L32" s="50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50">
        <v>-1</v>
      </c>
      <c r="K33" s="50">
        <v>-1</v>
      </c>
      <c r="L33" s="50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50">
        <v>-1</v>
      </c>
      <c r="K34" s="50">
        <v>-1</v>
      </c>
      <c r="L34" s="50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50">
        <v>-1</v>
      </c>
      <c r="K35" s="50">
        <v>-1</v>
      </c>
      <c r="L35" s="50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50">
        <v>-1</v>
      </c>
      <c r="K36" s="50">
        <v>-1</v>
      </c>
      <c r="L36" s="50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50">
        <v>-1</v>
      </c>
      <c r="K37" s="50">
        <v>-1</v>
      </c>
      <c r="L37" s="50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50">
        <v>-1</v>
      </c>
      <c r="K38" s="50">
        <v>-1</v>
      </c>
      <c r="L38" s="50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50">
        <v>-1</v>
      </c>
      <c r="K39" s="50">
        <v>-1</v>
      </c>
      <c r="L39" s="50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50">
        <v>-1</v>
      </c>
      <c r="K40" s="50">
        <v>-1</v>
      </c>
      <c r="L40" s="50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G41" s="1" t="s">
        <v>177</v>
      </c>
      <c r="H41" s="48">
        <f>SUMIF(H2:H40,"&gt;20",H2:H40)</f>
        <v>1473.0000000000002</v>
      </c>
    </row>
  </sheetData>
  <autoFilter ref="A1:X40" xr:uid="{00000000-0001-0000-0000-000000000000}"/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L48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1" width="11" style="1"/>
    <col min="12" max="12" width="12.1640625" style="47" bestFit="1" customWidth="1"/>
    <col min="13" max="16384" width="11" style="1"/>
  </cols>
  <sheetData>
    <row r="1" spans="1:12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12" x14ac:dyDescent="0.25">
      <c r="A2" s="2"/>
      <c r="B2" s="5" t="s">
        <v>160</v>
      </c>
      <c r="C2" s="2"/>
    </row>
    <row r="3" spans="1:12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12" x14ac:dyDescent="0.25">
      <c r="A4" s="6">
        <v>2</v>
      </c>
      <c r="B4" s="2" t="s">
        <v>46</v>
      </c>
      <c r="C4" s="2"/>
      <c r="E4" s="1">
        <v>5</v>
      </c>
    </row>
    <row r="5" spans="1:12" x14ac:dyDescent="0.25">
      <c r="A5" s="6">
        <v>3</v>
      </c>
      <c r="B5" s="2" t="s">
        <v>104</v>
      </c>
      <c r="C5" s="34">
        <f>SUMIF(H2:H40,"&gt;20",H2:H40)</f>
        <v>0</v>
      </c>
      <c r="E5" s="1">
        <v>10</v>
      </c>
    </row>
    <row r="6" spans="1:12" x14ac:dyDescent="0.25">
      <c r="A6" s="6">
        <v>4</v>
      </c>
      <c r="B6" s="2" t="s">
        <v>106</v>
      </c>
      <c r="C6" s="2"/>
      <c r="E6" s="1">
        <v>5</v>
      </c>
    </row>
    <row r="7" spans="1:12" x14ac:dyDescent="0.25">
      <c r="A7" s="2"/>
      <c r="B7" s="2"/>
      <c r="C7" s="2"/>
    </row>
    <row r="8" spans="1:12" x14ac:dyDescent="0.25">
      <c r="C8" s="1">
        <f>SUMIF(H2:H40,"&gt;20",H2:H40)</f>
        <v>0</v>
      </c>
      <c r="L8" s="1"/>
    </row>
    <row r="9" spans="1:12" x14ac:dyDescent="0.25">
      <c r="L9" s="1"/>
    </row>
    <row r="10" spans="1:12" x14ac:dyDescent="0.25">
      <c r="L10" s="1"/>
    </row>
    <row r="11" spans="1:12" x14ac:dyDescent="0.25">
      <c r="L11" s="1"/>
    </row>
    <row r="12" spans="1:12" x14ac:dyDescent="0.25">
      <c r="L12" s="1"/>
    </row>
    <row r="13" spans="1:12" x14ac:dyDescent="0.25">
      <c r="L13" s="1"/>
    </row>
    <row r="14" spans="1:12" x14ac:dyDescent="0.25">
      <c r="L14" s="1"/>
    </row>
    <row r="15" spans="1:12" x14ac:dyDescent="0.25">
      <c r="L15" s="1"/>
    </row>
    <row r="16" spans="1:12" x14ac:dyDescent="0.25">
      <c r="L16" s="1"/>
    </row>
    <row r="17" spans="12:12" x14ac:dyDescent="0.25">
      <c r="L17" s="1"/>
    </row>
    <row r="18" spans="12:12" x14ac:dyDescent="0.25">
      <c r="L18" s="1"/>
    </row>
    <row r="19" spans="12:12" x14ac:dyDescent="0.25">
      <c r="L19" s="1"/>
    </row>
    <row r="20" spans="12:12" x14ac:dyDescent="0.25">
      <c r="L20" s="1"/>
    </row>
    <row r="21" spans="12:12" x14ac:dyDescent="0.25">
      <c r="L21" s="1"/>
    </row>
    <row r="22" spans="12:12" x14ac:dyDescent="0.25">
      <c r="L22" s="1"/>
    </row>
    <row r="23" spans="12:12" x14ac:dyDescent="0.25">
      <c r="L23" s="1"/>
    </row>
    <row r="24" spans="12:12" x14ac:dyDescent="0.25">
      <c r="L24" s="1"/>
    </row>
    <row r="25" spans="12:12" x14ac:dyDescent="0.25">
      <c r="L25" s="1"/>
    </row>
    <row r="26" spans="12:12" x14ac:dyDescent="0.25">
      <c r="L26" s="1"/>
    </row>
    <row r="27" spans="12:12" x14ac:dyDescent="0.25">
      <c r="L27" s="1"/>
    </row>
    <row r="28" spans="12:12" x14ac:dyDescent="0.25">
      <c r="L28" s="1"/>
    </row>
    <row r="29" spans="12:12" x14ac:dyDescent="0.25">
      <c r="L29" s="1"/>
    </row>
    <row r="30" spans="12:12" x14ac:dyDescent="0.25">
      <c r="L30" s="1"/>
    </row>
    <row r="31" spans="12:12" x14ac:dyDescent="0.25">
      <c r="L31" s="1"/>
    </row>
    <row r="32" spans="12:12" x14ac:dyDescent="0.25">
      <c r="L32" s="1"/>
    </row>
    <row r="33" spans="12:12" x14ac:dyDescent="0.25">
      <c r="L33" s="1"/>
    </row>
    <row r="34" spans="12:12" x14ac:dyDescent="0.25">
      <c r="L34" s="1"/>
    </row>
    <row r="35" spans="12:12" x14ac:dyDescent="0.25">
      <c r="L35" s="1"/>
    </row>
    <row r="36" spans="12:12" x14ac:dyDescent="0.25">
      <c r="L36" s="1"/>
    </row>
    <row r="37" spans="12:12" x14ac:dyDescent="0.25">
      <c r="L37" s="1"/>
    </row>
    <row r="38" spans="12:12" x14ac:dyDescent="0.25">
      <c r="L38" s="1"/>
    </row>
    <row r="39" spans="12:12" x14ac:dyDescent="0.25">
      <c r="L39" s="1"/>
    </row>
    <row r="40" spans="12:12" x14ac:dyDescent="0.25">
      <c r="L40" s="1"/>
    </row>
    <row r="41" spans="12:12" x14ac:dyDescent="0.25">
      <c r="L41" s="1"/>
    </row>
    <row r="42" spans="12:12" x14ac:dyDescent="0.25">
      <c r="L42" s="1"/>
    </row>
    <row r="43" spans="12:12" x14ac:dyDescent="0.25">
      <c r="L43" s="1"/>
    </row>
    <row r="44" spans="12:12" x14ac:dyDescent="0.25">
      <c r="L44" s="1"/>
    </row>
    <row r="45" spans="12:12" x14ac:dyDescent="0.25">
      <c r="L45" s="1"/>
    </row>
    <row r="46" spans="12:12" x14ac:dyDescent="0.25">
      <c r="L46" s="1"/>
    </row>
    <row r="47" spans="12:12" x14ac:dyDescent="0.25">
      <c r="L47" s="1"/>
    </row>
    <row r="48" spans="12:12" x14ac:dyDescent="0.25">
      <c r="L48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Dataset!H2</f>
        <v>3.6</v>
      </c>
      <c r="C6" s="12">
        <f>Dataset!N2</f>
        <v>7.6</v>
      </c>
      <c r="D6" s="12">
        <f>Dataset!R2</f>
        <v>4.2</v>
      </c>
      <c r="E6" s="12">
        <f>Dataset!T2</f>
        <v>8.9</v>
      </c>
      <c r="F6" s="8">
        <f>Dataset!V2</f>
        <v>4.2</v>
      </c>
    </row>
    <row r="7" spans="1:7" ht="15" x14ac:dyDescent="0.25">
      <c r="A7" s="7" t="s">
        <v>4</v>
      </c>
      <c r="B7" s="12">
        <f>Dataset!H3</f>
        <v>3.6</v>
      </c>
      <c r="C7" s="12">
        <f>Dataset!N3</f>
        <v>7.6</v>
      </c>
      <c r="D7" s="12">
        <f>Dataset!R3</f>
        <v>4.2</v>
      </c>
      <c r="E7" s="12">
        <f>Dataset!T3</f>
        <v>8.9</v>
      </c>
      <c r="F7" s="8">
        <f>Dataset!V3</f>
        <v>4.2</v>
      </c>
    </row>
    <row r="8" spans="1:7" ht="15" x14ac:dyDescent="0.25">
      <c r="A8" s="7" t="s">
        <v>7</v>
      </c>
      <c r="B8" s="12">
        <f>Dataset!H4</f>
        <v>5.4</v>
      </c>
      <c r="C8" s="12">
        <f>Dataset!N4</f>
        <v>11.1</v>
      </c>
      <c r="D8" s="12">
        <f>Dataset!R4</f>
        <v>5.8</v>
      </c>
      <c r="E8" s="12">
        <f>Dataset!T4</f>
        <v>12.2</v>
      </c>
      <c r="F8" s="8">
        <f>Dataset!V4</f>
        <v>5.8</v>
      </c>
    </row>
    <row r="9" spans="1:7" ht="15" x14ac:dyDescent="0.25">
      <c r="A9" s="7" t="s">
        <v>8</v>
      </c>
      <c r="B9" s="12">
        <f>Dataset!H5</f>
        <v>6.6</v>
      </c>
      <c r="C9" s="12">
        <f>Dataset!N5</f>
        <v>13.3</v>
      </c>
      <c r="D9" s="12">
        <f>Dataset!R5</f>
        <v>8.1</v>
      </c>
      <c r="E9" s="12">
        <f>Dataset!T5</f>
        <v>17</v>
      </c>
      <c r="F9" s="8">
        <f>Dataset!V5</f>
        <v>8.1</v>
      </c>
    </row>
    <row r="10" spans="1:7" ht="15" x14ac:dyDescent="0.25">
      <c r="A10" s="7" t="s">
        <v>11</v>
      </c>
      <c r="B10" s="12">
        <f>Dataset!H6</f>
        <v>8.8000000000000007</v>
      </c>
      <c r="C10" s="12">
        <f>Dataset!N6</f>
        <v>18</v>
      </c>
      <c r="D10" s="12">
        <f>Dataset!R6</f>
        <v>11</v>
      </c>
      <c r="E10" s="12">
        <f>Dataset!T6</f>
        <v>22.5</v>
      </c>
      <c r="F10" s="8">
        <f>Dataset!V6</f>
        <v>11</v>
      </c>
    </row>
    <row r="11" spans="1:7" ht="15" x14ac:dyDescent="0.25">
      <c r="A11" s="7" t="s">
        <v>12</v>
      </c>
      <c r="B11" s="12">
        <f>Dataset!H7</f>
        <v>10.4</v>
      </c>
      <c r="C11" s="12">
        <f>Dataset!N7</f>
        <v>21.5</v>
      </c>
      <c r="D11" s="12">
        <f>Dataset!R7</f>
        <v>12.8</v>
      </c>
      <c r="E11" s="12">
        <f>Dataset!T7</f>
        <v>26.1</v>
      </c>
      <c r="F11" s="8">
        <f>Dataset!V7</f>
        <v>12.8</v>
      </c>
    </row>
    <row r="12" spans="1:7" ht="15" x14ac:dyDescent="0.25">
      <c r="A12" s="7" t="s">
        <v>14</v>
      </c>
      <c r="B12" s="12">
        <f>Dataset!H8</f>
        <v>13.8</v>
      </c>
      <c r="C12" s="12">
        <f>Dataset!N8</f>
        <v>28.3</v>
      </c>
      <c r="D12" s="12">
        <f>Dataset!R8</f>
        <v>16.100000000000001</v>
      </c>
      <c r="E12" s="12">
        <f>Dataset!T8</f>
        <v>32.799999999999997</v>
      </c>
      <c r="F12" s="8">
        <f>Dataset!V8</f>
        <v>16.100000000000001</v>
      </c>
    </row>
    <row r="13" spans="1:7" ht="15" x14ac:dyDescent="0.25">
      <c r="A13" s="7" t="s">
        <v>15</v>
      </c>
      <c r="B13" s="12">
        <f>Dataset!H9</f>
        <v>17.3</v>
      </c>
      <c r="C13" s="12">
        <f>Dataset!N9</f>
        <v>35.200000000000003</v>
      </c>
      <c r="D13" s="12">
        <f>Dataset!R9</f>
        <v>21.3</v>
      </c>
      <c r="E13" s="12">
        <f>Dataset!T9</f>
        <v>43</v>
      </c>
      <c r="F13" s="8">
        <f>Dataset!V9</f>
        <v>21.3</v>
      </c>
    </row>
    <row r="14" spans="1:7" ht="15" x14ac:dyDescent="0.25">
      <c r="A14" s="7" t="s">
        <v>16</v>
      </c>
      <c r="B14" s="12">
        <f>Dataset!H10</f>
        <v>24.1</v>
      </c>
      <c r="C14" s="12">
        <f>Dataset!N10</f>
        <v>49</v>
      </c>
      <c r="D14" s="12">
        <f>Dataset!R10</f>
        <v>29.1</v>
      </c>
      <c r="E14" s="12">
        <f>Dataset!T10</f>
        <v>59</v>
      </c>
      <c r="F14" s="8">
        <f>Dataset!V10</f>
        <v>29.1</v>
      </c>
    </row>
    <row r="15" spans="1:7" ht="15" x14ac:dyDescent="0.25">
      <c r="A15" s="7" t="s">
        <v>18</v>
      </c>
      <c r="B15" s="12">
        <f>Dataset!H11</f>
        <v>27.5</v>
      </c>
      <c r="C15" s="12">
        <f>Dataset!N11</f>
        <v>55.6</v>
      </c>
      <c r="D15" s="12">
        <f>Dataset!R11</f>
        <v>33.799999999999997</v>
      </c>
      <c r="E15" s="12">
        <f>Dataset!T11</f>
        <v>67.900000000000006</v>
      </c>
      <c r="F15" s="8">
        <f>Dataset!V11</f>
        <v>33.799999999999997</v>
      </c>
    </row>
    <row r="16" spans="1:7" ht="15" x14ac:dyDescent="0.25">
      <c r="A16" s="7" t="s">
        <v>20</v>
      </c>
      <c r="B16" s="12">
        <f>Dataset!H12</f>
        <v>0</v>
      </c>
      <c r="C16" s="12">
        <f>Dataset!N12</f>
        <v>0</v>
      </c>
      <c r="D16" s="12">
        <f>Dataset!R12</f>
        <v>0</v>
      </c>
      <c r="E16" s="12">
        <f>Dataset!T12</f>
        <v>0</v>
      </c>
      <c r="F16" s="8">
        <f>Dataset!V12</f>
        <v>0</v>
      </c>
    </row>
    <row r="17" spans="1:6" ht="15" x14ac:dyDescent="0.25">
      <c r="A17" s="7" t="s">
        <v>22</v>
      </c>
      <c r="B17" s="12">
        <f>Dataset!H13</f>
        <v>32.1</v>
      </c>
      <c r="C17" s="12">
        <f>Dataset!N13</f>
        <v>61.5</v>
      </c>
      <c r="D17" s="12">
        <f>Dataset!R13</f>
        <v>40.1</v>
      </c>
      <c r="E17" s="12">
        <f>Dataset!T13</f>
        <v>76.599999999999994</v>
      </c>
      <c r="F17" s="8">
        <f>Dataset!V13</f>
        <v>40.1</v>
      </c>
    </row>
    <row r="18" spans="1:6" ht="15" x14ac:dyDescent="0.25">
      <c r="A18" s="7" t="s">
        <v>23</v>
      </c>
      <c r="B18" s="12">
        <f>Dataset!H14</f>
        <v>34.700000000000003</v>
      </c>
      <c r="C18" s="12">
        <f>Dataset!N14</f>
        <v>70.8</v>
      </c>
      <c r="D18" s="12">
        <f>Dataset!R14</f>
        <v>42.7</v>
      </c>
      <c r="E18" s="12">
        <f>Dataset!T14</f>
        <v>86.6</v>
      </c>
      <c r="F18" s="8">
        <f>Dataset!V14</f>
        <v>42.7</v>
      </c>
    </row>
    <row r="19" spans="1:6" ht="15" x14ac:dyDescent="0.25">
      <c r="A19" s="7" t="s">
        <v>24</v>
      </c>
      <c r="B19" s="12">
        <f>Dataset!H15</f>
        <v>39.299999999999997</v>
      </c>
      <c r="C19" s="12">
        <f>Dataset!N15</f>
        <v>79.599999999999994</v>
      </c>
      <c r="D19" s="12">
        <f>Dataset!R15</f>
        <v>47.9</v>
      </c>
      <c r="E19" s="12">
        <f>Dataset!T15</f>
        <v>96.8</v>
      </c>
      <c r="F19" s="8">
        <f>Dataset!V15</f>
        <v>47.9</v>
      </c>
    </row>
    <row r="20" spans="1:6" ht="15" x14ac:dyDescent="0.25">
      <c r="A20" s="7" t="s">
        <v>28</v>
      </c>
      <c r="B20" s="12">
        <f>Dataset!H16</f>
        <v>41</v>
      </c>
      <c r="C20" s="12">
        <f>Dataset!N16</f>
        <v>83.2</v>
      </c>
      <c r="D20" s="12">
        <f>Dataset!R16</f>
        <v>50.1</v>
      </c>
      <c r="E20" s="12">
        <f>Dataset!T16</f>
        <v>101.3</v>
      </c>
      <c r="F20" s="8">
        <f>Dataset!V16</f>
        <v>50.1</v>
      </c>
    </row>
    <row r="21" spans="1:6" ht="15" x14ac:dyDescent="0.25">
      <c r="A21" s="7" t="s">
        <v>57</v>
      </c>
      <c r="B21" s="12">
        <f>Dataset!H17</f>
        <v>42.3</v>
      </c>
      <c r="C21" s="12">
        <f>Dataset!N17</f>
        <v>85.4</v>
      </c>
      <c r="D21" s="12">
        <f>Dataset!R17</f>
        <v>52.3</v>
      </c>
      <c r="E21" s="12">
        <f>Dataset!T17</f>
        <v>106.1</v>
      </c>
      <c r="F21" s="8">
        <f>Dataset!V17</f>
        <v>52.3</v>
      </c>
    </row>
    <row r="22" spans="1:6" ht="15" x14ac:dyDescent="0.25">
      <c r="A22" s="7" t="s">
        <v>58</v>
      </c>
      <c r="B22" s="12">
        <f>Dataset!H18</f>
        <v>43.3</v>
      </c>
      <c r="C22" s="12">
        <f>Dataset!N18</f>
        <v>87.6</v>
      </c>
      <c r="D22" s="12">
        <f>Dataset!R18</f>
        <v>53.7</v>
      </c>
      <c r="E22" s="12">
        <f>Dataset!T18</f>
        <v>108.8</v>
      </c>
      <c r="F22" s="8">
        <f>Dataset!V18</f>
        <v>53.7</v>
      </c>
    </row>
    <row r="23" spans="1:6" ht="15" x14ac:dyDescent="0.25">
      <c r="A23" s="7" t="s">
        <v>31</v>
      </c>
      <c r="B23" s="12">
        <f>Dataset!H19</f>
        <v>45.5</v>
      </c>
      <c r="C23" s="12">
        <f>Dataset!N19</f>
        <v>92.1</v>
      </c>
      <c r="D23" s="12">
        <f>Dataset!R19</f>
        <v>57</v>
      </c>
      <c r="E23" s="12">
        <f>Dataset!T19</f>
        <v>115.1</v>
      </c>
      <c r="F23" s="8">
        <f>Dataset!V19</f>
        <v>57</v>
      </c>
    </row>
    <row r="24" spans="1:6" ht="15" x14ac:dyDescent="0.25">
      <c r="A24" s="7" t="s">
        <v>32</v>
      </c>
      <c r="B24" s="12">
        <f>Dataset!H20</f>
        <v>50.1</v>
      </c>
      <c r="C24" s="12">
        <f>Dataset!N20</f>
        <v>101.3</v>
      </c>
      <c r="D24" s="12">
        <f>Dataset!R20</f>
        <v>61.4</v>
      </c>
      <c r="E24" s="12">
        <f>Dataset!T20</f>
        <v>124.4</v>
      </c>
      <c r="F24" s="8">
        <f>Dataset!V20</f>
        <v>61.4</v>
      </c>
    </row>
    <row r="25" spans="1:6" ht="15" x14ac:dyDescent="0.25">
      <c r="A25" s="7" t="s">
        <v>34</v>
      </c>
      <c r="B25" s="12">
        <f>Dataset!H21</f>
        <v>52.3</v>
      </c>
      <c r="C25" s="12">
        <f>Dataset!N21</f>
        <v>106.1</v>
      </c>
      <c r="D25" s="12">
        <f>Dataset!R21</f>
        <v>63.6</v>
      </c>
      <c r="E25" s="12">
        <f>Dataset!T21</f>
        <v>128.6</v>
      </c>
      <c r="F25" s="8">
        <f>Dataset!V21</f>
        <v>63.6</v>
      </c>
    </row>
    <row r="26" spans="1:6" ht="15" x14ac:dyDescent="0.25">
      <c r="A26" s="7" t="s">
        <v>37</v>
      </c>
      <c r="B26" s="12">
        <f>Dataset!H22</f>
        <v>54.6</v>
      </c>
      <c r="C26" s="12">
        <f>Dataset!N22</f>
        <v>110.3</v>
      </c>
      <c r="D26" s="12">
        <f>Dataset!R22</f>
        <v>65.900000000000006</v>
      </c>
      <c r="E26" s="12">
        <f>Dataset!T22</f>
        <v>133.4</v>
      </c>
      <c r="F26" s="8">
        <f>Dataset!V22</f>
        <v>65.900000000000006</v>
      </c>
    </row>
    <row r="27" spans="1:6" ht="15" x14ac:dyDescent="0.25">
      <c r="A27" s="7" t="s">
        <v>39</v>
      </c>
      <c r="B27" s="12">
        <f>Dataset!H23</f>
        <v>57.2</v>
      </c>
      <c r="C27" s="12">
        <f>Dataset!N23</f>
        <v>115.5</v>
      </c>
      <c r="D27" s="12">
        <f>Dataset!R23</f>
        <v>68.7</v>
      </c>
      <c r="E27" s="12">
        <f>Dataset!T23</f>
        <v>138.80000000000001</v>
      </c>
      <c r="F27" s="8">
        <f>Dataset!V23</f>
        <v>68.7</v>
      </c>
    </row>
    <row r="28" spans="1:6" ht="15" x14ac:dyDescent="0.25">
      <c r="A28" s="19" t="s">
        <v>82</v>
      </c>
      <c r="B28" s="31">
        <f>MIN(B6:B27)</f>
        <v>0</v>
      </c>
      <c r="C28" s="31">
        <f>MIN(C6:C27)</f>
        <v>0</v>
      </c>
      <c r="D28" s="31">
        <f>MIN(D6:D27)</f>
        <v>0</v>
      </c>
      <c r="E28" s="31">
        <f>MIN(E6:E27)</f>
        <v>0</v>
      </c>
      <c r="F28" s="31">
        <f>MIN(F6:F27)</f>
        <v>0</v>
      </c>
    </row>
    <row r="29" spans="1:6" ht="15" x14ac:dyDescent="0.25">
      <c r="A29" s="19" t="s">
        <v>83</v>
      </c>
      <c r="B29" s="31">
        <f>MAX(B6:B27)</f>
        <v>57.2</v>
      </c>
      <c r="C29" s="31">
        <f>MAX(C6:C27)</f>
        <v>115.5</v>
      </c>
      <c r="D29" s="31">
        <f>MAX(D6:D27)</f>
        <v>68.7</v>
      </c>
      <c r="E29" s="31">
        <f>MAX(E6:E27)</f>
        <v>138.80000000000001</v>
      </c>
      <c r="F29" s="31">
        <f>MAX(F6:F27)</f>
        <v>68.7</v>
      </c>
    </row>
    <row r="30" spans="1:6" ht="15" x14ac:dyDescent="0.25">
      <c r="A30" s="19" t="s">
        <v>84</v>
      </c>
      <c r="B30" s="31">
        <f>AVERAGE(B6:B27)</f>
        <v>27.88636363636364</v>
      </c>
      <c r="C30" s="31">
        <f>AVERAGE(C6:C27)</f>
        <v>56.390909090909098</v>
      </c>
      <c r="D30" s="31">
        <f>AVERAGE(D6:D27)</f>
        <v>34.081818181818186</v>
      </c>
      <c r="E30" s="31">
        <f>AVERAGE(E6:E27)</f>
        <v>68.854545454545459</v>
      </c>
      <c r="F30" s="31">
        <f>AVERAGE(F6:F27)</f>
        <v>34.081818181818186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J9" sqref="J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 t="s">
        <v>180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3"/>
  <sheetViews>
    <sheetView tabSelected="1" zoomScaleNormal="100" workbookViewId="0">
      <selection activeCell="B6" sqref="B6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179</v>
      </c>
    </row>
    <row r="7" spans="1:3" ht="15" x14ac:dyDescent="0.25">
      <c r="A7" s="3" t="s">
        <v>153</v>
      </c>
      <c r="B7" s="1" t="s">
        <v>178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>
        <v>20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  <row r="23" spans="1:3" x14ac:dyDescent="0.2">
      <c r="C23" s="2">
        <f>SUM(C12:C21)</f>
        <v>600</v>
      </c>
    </row>
  </sheetData>
  <autoFilter ref="A11:C22" xr:uid="{A5D5901F-1994-A940-B935-A86D4CB37D9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1"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mohan sangamnere</cp:lastModifiedBy>
  <dcterms:created xsi:type="dcterms:W3CDTF">2015-02-10T17:33:11Z</dcterms:created>
  <dcterms:modified xsi:type="dcterms:W3CDTF">2023-12-11T16:41:08Z</dcterms:modified>
</cp:coreProperties>
</file>